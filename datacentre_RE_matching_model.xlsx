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umptions" sheetId="1" state="visible" r:id="rId1"/>
    <sheet xmlns:r="http://schemas.openxmlformats.org/officeDocument/2006/relationships" name="Demand_Supply_Model" sheetId="2" state="visible" r:id="rId2"/>
    <sheet xmlns:r="http://schemas.openxmlformats.org/officeDocument/2006/relationships" name="Slide_Ready_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00"/>
    <numFmt numFmtId="165" formatCode="#,##0.0"/>
    <numFmt numFmtId="166" formatCode="0.0%"/>
  </numFmts>
  <fonts count="6">
    <font>
      <name val="Calibri"/>
      <family val="2"/>
      <color theme="1"/>
      <sz val="11"/>
      <scheme val="minor"/>
    </font>
    <font>
      <name val="Calibri"/>
      <b val="1"/>
      <color rgb="001B365D"/>
      <sz val="14"/>
    </font>
    <font>
      <name val="Calibri"/>
      <i val="1"/>
      <color rgb="00555555"/>
      <sz val="9"/>
    </font>
    <font>
      <name val="Calibri"/>
      <b val="1"/>
      <color rgb="00FFFFFF"/>
      <sz val="10"/>
    </font>
    <font>
      <name val="Calibri"/>
      <sz val="10"/>
    </font>
    <font>
      <name val="Calibri"/>
      <b val="1"/>
      <sz val="10"/>
    </font>
  </fonts>
  <fills count="6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E8F1F5"/>
        <bgColor rgb="00E8F1F5"/>
      </patternFill>
    </fill>
    <fill>
      <patternFill patternType="solid">
        <fgColor rgb="00FFF8E7"/>
        <bgColor rgb="00FFF8E7"/>
      </patternFill>
    </fill>
    <fill>
      <patternFill patternType="solid">
        <fgColor rgb="00E2EFDA"/>
        <bgColor rgb="00E2EFDA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top style="thin">
        <color rgb="001B365D"/>
      </top>
      <bottom style="double">
        <color rgb="001B365D"/>
      </bottom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4" fillId="0" borderId="1" pivotButton="0" quotePrefix="0" xfId="0"/>
    <xf numFmtId="0" fontId="4" fillId="0" borderId="1" applyAlignment="1" pivotButton="0" quotePrefix="0" xfId="0">
      <alignment horizontal="center" vertical="center"/>
    </xf>
    <xf numFmtId="164" fontId="4" fillId="0" borderId="1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 wrapText="1"/>
    </xf>
    <xf numFmtId="165" fontId="4" fillId="0" borderId="1" pivotButton="0" quotePrefix="0" xfId="0"/>
    <xf numFmtId="164" fontId="4" fillId="0" borderId="1" pivotButton="0" quotePrefix="0" xfId="0"/>
    <xf numFmtId="166" fontId="4" fillId="0" borderId="1" pivotButton="0" quotePrefix="0" xfId="0"/>
    <xf numFmtId="3" fontId="4" fillId="0" borderId="1" pivotButton="0" quotePrefix="0" xfId="0"/>
    <xf numFmtId="0" fontId="4" fillId="3" borderId="1" pivotButton="0" quotePrefix="0" xfId="0"/>
    <xf numFmtId="165" fontId="4" fillId="3" borderId="1" pivotButton="0" quotePrefix="0" xfId="0"/>
    <xf numFmtId="164" fontId="4" fillId="3" borderId="1" pivotButton="0" quotePrefix="0" xfId="0"/>
    <xf numFmtId="166" fontId="4" fillId="3" borderId="1" pivotButton="0" quotePrefix="0" xfId="0"/>
    <xf numFmtId="3" fontId="4" fillId="3" borderId="1" pivotButton="0" quotePrefix="0" xfId="0"/>
    <xf numFmtId="0" fontId="4" fillId="4" borderId="1" pivotButton="0" quotePrefix="0" xfId="0"/>
    <xf numFmtId="165" fontId="4" fillId="4" borderId="1" pivotButton="0" quotePrefix="0" xfId="0"/>
    <xf numFmtId="164" fontId="4" fillId="4" borderId="1" pivotButton="0" quotePrefix="0" xfId="0"/>
    <xf numFmtId="166" fontId="4" fillId="4" borderId="1" pivotButton="0" quotePrefix="0" xfId="0"/>
    <xf numFmtId="3" fontId="4" fillId="4" borderId="1" pivotButton="0" quotePrefix="0" xfId="0"/>
    <xf numFmtId="0" fontId="5" fillId="5" borderId="2" pivotButton="0" quotePrefix="0" xfId="0"/>
    <xf numFmtId="165" fontId="5" fillId="5" borderId="2" pivotButton="0" quotePrefix="0" xfId="0"/>
    <xf numFmtId="164" fontId="5" fillId="5" borderId="2" pivotButton="0" quotePrefix="0" xfId="0"/>
    <xf numFmtId="166" fontId="5" fillId="5" borderId="2" pivotButton="0" quotePrefix="0" xfId="0"/>
    <xf numFmtId="3" fontId="5" fillId="5" borderId="2" pivotButton="0" quotePrefix="0" xfId="0"/>
    <xf numFmtId="3" fontId="4" fillId="0" borderId="1" applyAlignment="1" pivotButton="0" quotePrefix="0" xfId="0">
      <alignment horizontal="right" vertical="center"/>
    </xf>
    <xf numFmtId="166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3" fontId="4" fillId="3" borderId="1" applyAlignment="1" pivotButton="0" quotePrefix="0" xfId="0">
      <alignment horizontal="right" vertical="center"/>
    </xf>
    <xf numFmtId="166" fontId="4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/>
    </xf>
    <xf numFmtId="3" fontId="4" fillId="4" borderId="1" applyAlignment="1" pivotButton="0" quotePrefix="0" xfId="0">
      <alignment horizontal="right" vertical="center"/>
    </xf>
    <xf numFmtId="166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  <xf numFmtId="3" fontId="5" fillId="5" borderId="2" applyAlignment="1" pivotButton="0" quotePrefix="0" xfId="0">
      <alignment horizontal="right" vertical="center"/>
    </xf>
    <xf numFmtId="166" fontId="5" fillId="5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showGridLines="1" workbookViewId="0">
      <selection activeCell="A1" sqref="A1"/>
    </sheetView>
  </sheetViews>
  <sheetFormatPr baseColWidth="8" defaultRowHeight="15"/>
  <cols>
    <col width="77" customWidth="1" min="1" max="1"/>
    <col width="12" customWidth="1" min="2" max="2"/>
    <col width="16" customWidth="1" min="3" max="3"/>
    <col width="49" customWidth="1" min="4" max="4"/>
    <col width="85" customWidth="1" min="5" max="5"/>
  </cols>
  <sheetData>
    <row r="1">
      <c r="A1" s="1" t="inlineStr">
        <is>
          <t>India Data Center 24/7 Renewable Energy Matching Model — Model Assumptions</t>
        </is>
      </c>
    </row>
    <row r="2">
      <c r="A2" s="2" t="inlineStr">
        <is>
          <t>Canonical parameters, regulatory references, and technical multipliers</t>
        </is>
      </c>
    </row>
    <row r="3"/>
    <row r="4">
      <c r="A4" s="3" t="inlineStr">
        <is>
          <t>Parameter</t>
        </is>
      </c>
      <c r="B4" s="3" t="inlineStr">
        <is>
          <t>Value</t>
        </is>
      </c>
      <c r="C4" s="3" t="inlineStr">
        <is>
          <t>Unit</t>
        </is>
      </c>
      <c r="D4" s="3" t="inlineStr">
        <is>
          <t>Source / Regulatory Reference</t>
        </is>
      </c>
      <c r="E4" s="3" t="inlineStr">
        <is>
          <t>Notes</t>
        </is>
      </c>
    </row>
    <row r="5">
      <c r="A5" s="4" t="inlineStr">
        <is>
          <t>Annual Operating Hours</t>
        </is>
      </c>
      <c r="B5" s="5" t="n">
        <v>8760</v>
      </c>
      <c r="C5" s="5" t="inlineStr">
        <is>
          <t>hours/year</t>
        </is>
      </c>
      <c r="D5" s="4" t="inlineStr">
        <is>
          <t>Standard Calendar Year</t>
        </is>
      </c>
      <c r="E5" s="4" t="inlineStr">
        <is>
          <t>Base continuous 24/7 calendar hours</t>
        </is>
      </c>
    </row>
    <row r="6">
      <c r="A6" s="4" t="inlineStr">
        <is>
          <t>Data Center Utilization Factor</t>
        </is>
      </c>
      <c r="B6" s="6" t="n">
        <v>0.65</v>
      </c>
      <c r="C6" s="5" t="inlineStr">
        <is>
          <t>ratio (65%)</t>
        </is>
      </c>
      <c r="D6" s="4" t="inlineStr">
        <is>
          <t>Industry Standard IT/Facility Load Factor</t>
        </is>
      </c>
      <c r="E6" s="4" t="inlineStr">
        <is>
          <t>Accounts for server idling, redundancy headroom, and realistic facility power draw</t>
        </is>
      </c>
    </row>
    <row r="7">
      <c r="A7" s="4" t="inlineStr">
        <is>
          <t>Unified National Grid Emission Factor</t>
        </is>
      </c>
      <c r="B7" s="6" t="n">
        <v>0.716</v>
      </c>
      <c r="C7" s="5" t="inlineStr">
        <is>
          <t>tCO2/MWh</t>
        </is>
      </c>
      <c r="D7" s="4" t="inlineStr">
        <is>
          <t>CEA CO2 Baseline Database (Ver 19.0/20.0)</t>
        </is>
      </c>
      <c r="E7" s="4" t="inlineStr">
        <is>
          <t>National Weighted Average for synchronous grid</t>
        </is>
      </c>
    </row>
    <row r="8">
      <c r="A8" s="4" t="inlineStr">
        <is>
          <t>Western Region Operating Margin Proxy</t>
        </is>
      </c>
      <c r="B8" s="6" t="n">
        <v>0.82</v>
      </c>
      <c r="C8" s="5" t="inlineStr">
        <is>
          <t>tCO2/MWh</t>
        </is>
      </c>
      <c r="D8" s="4" t="inlineStr">
        <is>
          <t>CEA CO2 Baseline Database (Ver 19.0/20.0)</t>
        </is>
      </c>
      <c r="E8" s="4" t="inlineStr">
        <is>
          <t>Sensitivity proxy for Western Region (MH/GJ)</t>
        </is>
      </c>
    </row>
    <row r="9">
      <c r="A9" s="4" t="inlineStr">
        <is>
          <t>Northern Region Operating Margin Proxy</t>
        </is>
      </c>
      <c r="B9" s="6" t="n">
        <v>0.785</v>
      </c>
      <c r="C9" s="5" t="inlineStr">
        <is>
          <t>tCO2/MWh</t>
        </is>
      </c>
      <c r="D9" s="4" t="inlineStr">
        <is>
          <t>CEA CO2 Baseline Database (Ver 19.0/20.0)</t>
        </is>
      </c>
      <c r="E9" s="4" t="inlineStr">
        <is>
          <t>Sensitivity proxy for Northern Region (UP/NCR)</t>
        </is>
      </c>
    </row>
    <row r="10">
      <c r="A10" s="4" t="inlineStr">
        <is>
          <t>Eastern Region Operating Margin Proxy</t>
        </is>
      </c>
      <c r="B10" s="6" t="n">
        <v>0.89</v>
      </c>
      <c r="C10" s="5" t="inlineStr">
        <is>
          <t>tCO2/MWh</t>
        </is>
      </c>
      <c r="D10" s="4" t="inlineStr">
        <is>
          <t>CEA CO2 Baseline Database (Ver 19.0/20.0)</t>
        </is>
      </c>
      <c r="E10" s="4" t="inlineStr">
        <is>
          <t>Sensitivity proxy for Eastern Region (WB/Kolkata)</t>
        </is>
      </c>
    </row>
    <row r="11">
      <c r="A11" s="4" t="inlineStr">
        <is>
          <t>Blended RE Solar Weight</t>
        </is>
      </c>
      <c r="B11" s="6" t="n">
        <v>0.6</v>
      </c>
      <c r="C11" s="5" t="inlineStr">
        <is>
          <t>ratio (60%)</t>
        </is>
      </c>
      <c r="D11" s="4" t="inlineStr">
        <is>
          <t>Standard Solar-Wind Hybrid PPA Ratio</t>
        </is>
      </c>
      <c r="E11" s="4" t="inlineStr">
        <is>
          <t>Weight applied to Solar CF when wind is viable</t>
        </is>
      </c>
    </row>
    <row r="12">
      <c r="A12" s="4" t="inlineStr">
        <is>
          <t>Blended RE Wind Weight</t>
        </is>
      </c>
      <c r="B12" s="6" t="n">
        <v>0.4</v>
      </c>
      <c r="C12" s="5" t="inlineStr">
        <is>
          <t>ratio (40%)</t>
        </is>
      </c>
      <c r="D12" s="4" t="inlineStr">
        <is>
          <t>Standard Solar-Wind Hybrid PPA Ratio</t>
        </is>
      </c>
      <c r="E12" s="4" t="inlineStr">
        <is>
          <t>Weight applied to Wind CF when wind is viable</t>
        </is>
      </c>
    </row>
    <row r="13">
      <c r="A13" s="4" t="inlineStr">
        <is>
          <t>Jamnagar Conservative Wind CF</t>
        </is>
      </c>
      <c r="B13" s="6" t="n">
        <v>0.24</v>
      </c>
      <c r="C13" s="5" t="inlineStr">
        <is>
          <t>ratio (24.0%)</t>
        </is>
      </c>
      <c r="D13" s="4" t="inlineStr">
        <is>
          <t>GERC Historical Siting Filings</t>
        </is>
      </c>
      <c r="E13" s="4" t="inlineStr">
        <is>
          <t>Conservative coastal Gujarat empirical baseline</t>
        </is>
      </c>
    </row>
    <row r="14">
      <c r="A14" s="4" t="inlineStr">
        <is>
          <t>Jamnagar Claimed Regional Wind CF</t>
        </is>
      </c>
      <c r="B14" s="6" t="n">
        <v>0.32</v>
      </c>
      <c r="C14" s="5" t="inlineStr">
        <is>
          <t>ratio (32.0%)</t>
        </is>
      </c>
      <c r="D14" s="4" t="inlineStr">
        <is>
          <t>NIWE 120m/150m Resource Atlas (Kutch Corridor)</t>
        </is>
      </c>
      <c r="E14" s="4" t="inlineStr">
        <is>
          <t>Claimed regional macro-corridor upside (unverified at site)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14"/>
  <sheetViews>
    <sheetView showGridLines="1" workbookViewId="0">
      <selection activeCell="A1" sqref="A1"/>
    </sheetView>
  </sheetViews>
  <sheetFormatPr baseColWidth="8" defaultRowHeight="15"/>
  <cols>
    <col width="117" customWidth="1" min="1" max="1"/>
    <col width="25" customWidth="1" min="2" max="2"/>
    <col width="15" customWidth="1" min="3" max="3"/>
    <col width="16" customWidth="1" min="4" max="4"/>
    <col width="19" customWidth="1" min="5" max="5"/>
    <col width="20" customWidth="1" min="6" max="6"/>
    <col width="21" customWidth="1" min="7" max="7"/>
    <col width="24" customWidth="1" min="8" max="8"/>
    <col width="15" customWidth="1" min="9" max="9"/>
    <col width="27" customWidth="1" min="10" max="10"/>
    <col width="22" customWidth="1" min="11" max="11"/>
    <col width="28" customWidth="1" min="12" max="12"/>
    <col width="31" customWidth="1" min="13" max="13"/>
    <col width="29" customWidth="1" min="14" max="14"/>
    <col width="32" customWidth="1" min="15" max="15"/>
    <col width="30" customWidth="1" min="16" max="16"/>
    <col width="31" customWidth="1" min="17" max="17"/>
    <col width="33" customWidth="1" min="18" max="18"/>
    <col width="34" customWidth="1" min="19" max="19"/>
    <col width="33" customWidth="1" min="20" max="20"/>
    <col width="84" customWidth="1" min="21" max="21"/>
  </cols>
  <sheetData>
    <row r="1">
      <c r="A1" s="1" t="inlineStr">
        <is>
          <t>Data Center Electricity Demand, RE Resource Supply &amp; 24/7 Matching Model (9 Clusters)</t>
        </is>
      </c>
    </row>
    <row r="2">
      <c r="A2" s="2" t="inlineStr">
        <is>
          <t>Methodology: Demand = MW * 8760 * 0.65; Blended RE = Solar*0.6 + Wind*0.4 (or 100% Solar where Wind is Not Viable)</t>
        </is>
      </c>
    </row>
    <row r="3"/>
    <row r="4">
      <c r="A4" s="7" t="inlineStr">
        <is>
          <t>Cluster</t>
        </is>
      </c>
      <c r="B4" s="7" t="inlineStr">
        <is>
          <t>State</t>
        </is>
      </c>
      <c r="C4" s="7" t="inlineStr">
        <is>
          <t>Total Low MW</t>
        </is>
      </c>
      <c r="D4" s="7" t="inlineStr">
        <is>
          <t>Total High MW</t>
        </is>
      </c>
      <c r="E4" s="7" t="inlineStr">
        <is>
          <t>Demand GWh (Low)</t>
        </is>
      </c>
      <c r="F4" s="7" t="inlineStr">
        <is>
          <t>Demand GWh (High)</t>
        </is>
      </c>
      <c r="G4" s="7" t="inlineStr">
        <is>
          <t>Grid EF (tCO2/MWh)</t>
        </is>
      </c>
      <c r="H4" s="7" t="inlineStr">
        <is>
          <t>BAU Grid RE Share (%)</t>
        </is>
      </c>
      <c r="I4" s="7" t="inlineStr">
        <is>
          <t>Solar CF (%)</t>
        </is>
      </c>
      <c r="J4" s="7" t="inlineStr">
        <is>
          <t>Wind CF Conservative (%)</t>
        </is>
      </c>
      <c r="K4" s="7" t="inlineStr">
        <is>
          <t>Wind CF Claimed (%)</t>
        </is>
      </c>
      <c r="L4" s="7" t="inlineStr">
        <is>
          <t>Blended RE Match Cons (%)</t>
        </is>
      </c>
      <c r="M4" s="7" t="inlineStr">
        <is>
          <t>Blended RE Match Claimed (%)</t>
        </is>
      </c>
      <c r="N4" s="7" t="inlineStr">
        <is>
          <t>24/7 RE Match Gap Cons (%)</t>
        </is>
      </c>
      <c r="O4" s="7" t="inlineStr">
        <is>
          <t>24/7 RE Match Gap Claimed (%)</t>
        </is>
      </c>
      <c r="P4" s="7" t="inlineStr">
        <is>
          <t>CO2 Avoided Low Cons (t/yr)</t>
        </is>
      </c>
      <c r="Q4" s="7" t="inlineStr">
        <is>
          <t>CO2 Avoided High Cons (t/yr)</t>
        </is>
      </c>
      <c r="R4" s="7" t="inlineStr">
        <is>
          <t>CO2 Avoided Low Claimed (t/yr)</t>
        </is>
      </c>
      <c r="S4" s="7" t="inlineStr">
        <is>
          <t>CO2 Avoided High Claimed (t/yr)</t>
        </is>
      </c>
      <c r="T4" s="7" t="inlineStr">
        <is>
          <t>BESS Tariff Signal</t>
        </is>
      </c>
      <c r="U4" s="7" t="inlineStr">
        <is>
          <t>Confidence &amp; Sourcing Status</t>
        </is>
      </c>
    </row>
    <row r="5">
      <c r="A5" s="4" t="inlineStr">
        <is>
          <t>Mumbai/Navi Mumbai</t>
        </is>
      </c>
      <c r="B5" s="4" t="inlineStr">
        <is>
          <t>Maharashtra</t>
        </is>
      </c>
      <c r="C5" s="8" t="n">
        <v>766.6</v>
      </c>
      <c r="D5" s="8" t="n">
        <v>2316.6</v>
      </c>
      <c r="E5" s="8">
        <f>C5*Assumptions!$B$5*Assumptions!$B$6/1000</f>
        <v/>
      </c>
      <c r="F5" s="8">
        <f>D5*Assumptions!$B$5*Assumptions!$B$6/1000</f>
        <v/>
      </c>
      <c r="G5" s="9" t="n">
        <v>0.716</v>
      </c>
      <c r="H5" s="10" t="n">
        <v>0.368</v>
      </c>
      <c r="I5" s="10" t="n">
        <v>0.208</v>
      </c>
      <c r="J5" s="10" t="n">
        <v>0.24</v>
      </c>
      <c r="K5" s="10" t="n">
        <v>0.24</v>
      </c>
      <c r="L5" s="10">
        <f>IF(J5&gt;0, I5*Assumptions!$B$11 + J5*Assumptions!$B$12, I5*1.0)</f>
        <v/>
      </c>
      <c r="M5" s="10">
        <f>IF(K5&gt;0, I5*Assumptions!$B$11 + K5*Assumptions!$B$12, I5*1.0)</f>
        <v/>
      </c>
      <c r="N5" s="10">
        <f>1-L5</f>
        <v/>
      </c>
      <c r="O5" s="10">
        <f>1-M5</f>
        <v/>
      </c>
      <c r="P5" s="11">
        <f>MAX(0, (E5*1000)*G5*(L5-H5))</f>
        <v/>
      </c>
      <c r="Q5" s="11">
        <f>MAX(0, (F5*1000)*G5*(L5-H5))</f>
        <v/>
      </c>
      <c r="R5" s="11">
        <f>MAX(0, (E5*1000)*G5*(M5-H5))</f>
        <v/>
      </c>
      <c r="S5" s="11">
        <f>MAX(0, (F5*1000)*G5*(M5-H5))</f>
        <v/>
      </c>
      <c r="T5" s="4" t="inlineStr">
        <is>
          <t>₹2.38–2.40 L/MW/mo (MSEDCL)</t>
        </is>
      </c>
      <c r="U5" s="4" t="inlineStr">
        <is>
          <t>High (Tier 2 Reports / Statutory RE)</t>
        </is>
      </c>
    </row>
    <row r="6">
      <c r="A6" s="4" t="inlineStr">
        <is>
          <t>Chennai</t>
        </is>
      </c>
      <c r="B6" s="4" t="inlineStr">
        <is>
          <t>Tamil Nadu</t>
        </is>
      </c>
      <c r="C6" s="8" t="n">
        <v>191.5</v>
      </c>
      <c r="D6" s="8" t="n">
        <v>706.5</v>
      </c>
      <c r="E6" s="8">
        <f>C6*Assumptions!$B$5*Assumptions!$B$6/1000</f>
        <v/>
      </c>
      <c r="F6" s="8">
        <f>D6*Assumptions!$B$5*Assumptions!$B$6/1000</f>
        <v/>
      </c>
      <c r="G6" s="9" t="n">
        <v>0.716</v>
      </c>
      <c r="H6" s="10" t="n">
        <v>0.532</v>
      </c>
      <c r="I6" s="10" t="n">
        <v>0.21</v>
      </c>
      <c r="J6" s="10" t="n">
        <v>0.315</v>
      </c>
      <c r="K6" s="10" t="n">
        <v>0.315</v>
      </c>
      <c r="L6" s="10">
        <f>IF(J6&gt;0, I6*Assumptions!$B$11 + J6*Assumptions!$B$12, I6*1.0)</f>
        <v/>
      </c>
      <c r="M6" s="10">
        <f>IF(K6&gt;0, I6*Assumptions!$B$11 + K6*Assumptions!$B$12, I6*1.0)</f>
        <v/>
      </c>
      <c r="N6" s="10">
        <f>1-L6</f>
        <v/>
      </c>
      <c r="O6" s="10">
        <f>1-M6</f>
        <v/>
      </c>
      <c r="P6" s="11">
        <f>MAX(0, (E6*1000)*G6*(L6-H6))</f>
        <v/>
      </c>
      <c r="Q6" s="11">
        <f>MAX(0, (F6*1000)*G6*(L6-H6))</f>
        <v/>
      </c>
      <c r="R6" s="11">
        <f>MAX(0, (E6*1000)*G6*(M6-H6))</f>
        <v/>
      </c>
      <c r="S6" s="11">
        <f>MAX(0, (F6*1000)*G6*(M6-H6))</f>
        <v/>
      </c>
      <c r="T6" s="4" t="inlineStr">
        <is>
          <t>₹3.15–3.16 L/MW/mo (TNGECL)</t>
        </is>
      </c>
      <c r="U6" s="4" t="inlineStr">
        <is>
          <t>High (Subsea Landing Hub / Statutory RE)</t>
        </is>
      </c>
    </row>
    <row r="7">
      <c r="A7" s="4" t="inlineStr">
        <is>
          <t>Hyderabad</t>
        </is>
      </c>
      <c r="B7" s="4" t="inlineStr">
        <is>
          <t>Telangana</t>
        </is>
      </c>
      <c r="C7" s="8" t="n">
        <v>151.4</v>
      </c>
      <c r="D7" s="8" t="n">
        <v>751.4</v>
      </c>
      <c r="E7" s="8">
        <f>C7*Assumptions!$B$5*Assumptions!$B$6/1000</f>
        <v/>
      </c>
      <c r="F7" s="8">
        <f>D7*Assumptions!$B$5*Assumptions!$B$6/1000</f>
        <v/>
      </c>
      <c r="G7" s="9" t="n">
        <v>0.716</v>
      </c>
      <c r="H7" s="10" t="n">
        <v>0.345</v>
      </c>
      <c r="I7" s="10" t="n">
        <v>0.215</v>
      </c>
      <c r="J7" s="10" t="n">
        <v>0.19</v>
      </c>
      <c r="K7" s="10" t="n">
        <v>0.19</v>
      </c>
      <c r="L7" s="10">
        <f>IF(J7&gt;0, I7*Assumptions!$B$11 + J7*Assumptions!$B$12, I7*1.0)</f>
        <v/>
      </c>
      <c r="M7" s="10">
        <f>IF(K7&gt;0, I7*Assumptions!$B$11 + K7*Assumptions!$B$12, I7*1.0)</f>
        <v/>
      </c>
      <c r="N7" s="10">
        <f>1-L7</f>
        <v/>
      </c>
      <c r="O7" s="10">
        <f>1-M7</f>
        <v/>
      </c>
      <c r="P7" s="11">
        <f>MAX(0, (E7*1000)*G7*(L7-H7))</f>
        <v/>
      </c>
      <c r="Q7" s="11">
        <f>MAX(0, (F7*1000)*G7*(L7-H7))</f>
        <v/>
      </c>
      <c r="R7" s="11">
        <f>MAX(0, (E7*1000)*G7*(M7-H7))</f>
        <v/>
      </c>
      <c r="S7" s="11">
        <f>MAX(0, (F7*1000)*G7*(M7-H7))</f>
        <v/>
      </c>
      <c r="T7" s="4" t="inlineStr">
        <is>
          <t>₹3.04–3.75 L/MW/mo (SECI ISTS)</t>
        </is>
      </c>
      <c r="U7" s="4" t="inlineStr">
        <is>
          <t>High (DISCOM &amp; AI Roadmap Filings)</t>
        </is>
      </c>
    </row>
    <row r="8">
      <c r="A8" s="4" t="inlineStr">
        <is>
          <t>Pune</t>
        </is>
      </c>
      <c r="B8" s="4" t="inlineStr">
        <is>
          <t>Maharashtra</t>
        </is>
      </c>
      <c r="C8" s="8" t="n">
        <v>45</v>
      </c>
      <c r="D8" s="8" t="n">
        <v>145</v>
      </c>
      <c r="E8" s="8">
        <f>C8*Assumptions!$B$5*Assumptions!$B$6/1000</f>
        <v/>
      </c>
      <c r="F8" s="8">
        <f>D8*Assumptions!$B$5*Assumptions!$B$6/1000</f>
        <v/>
      </c>
      <c r="G8" s="9" t="n">
        <v>0.716</v>
      </c>
      <c r="H8" s="10" t="n">
        <v>0.368</v>
      </c>
      <c r="I8" s="10" t="n">
        <v>0.208</v>
      </c>
      <c r="J8" s="10" t="n">
        <v>0.24</v>
      </c>
      <c r="K8" s="10" t="n">
        <v>0.24</v>
      </c>
      <c r="L8" s="10">
        <f>IF(J8&gt;0, I8*Assumptions!$B$11 + J8*Assumptions!$B$12, I8*1.0)</f>
        <v/>
      </c>
      <c r="M8" s="10">
        <f>IF(K8&gt;0, I8*Assumptions!$B$11 + K8*Assumptions!$B$12, I8*1.0)</f>
        <v/>
      </c>
      <c r="N8" s="10">
        <f>1-L8</f>
        <v/>
      </c>
      <c r="O8" s="10">
        <f>1-M8</f>
        <v/>
      </c>
      <c r="P8" s="11">
        <f>MAX(0, (E8*1000)*G8*(L8-H8))</f>
        <v/>
      </c>
      <c r="Q8" s="11">
        <f>MAX(0, (F8*1000)*G8*(L8-H8))</f>
        <v/>
      </c>
      <c r="R8" s="11">
        <f>MAX(0, (E8*1000)*G8*(M8-H8))</f>
        <v/>
      </c>
      <c r="S8" s="11">
        <f>MAX(0, (F8*1000)*G8*(M8-H8))</f>
        <v/>
      </c>
      <c r="T8" s="4" t="inlineStr">
        <is>
          <t>₹2.38–2.40 L/MW/mo (MSEDCL)</t>
        </is>
      </c>
      <c r="U8" s="4" t="inlineStr">
        <is>
          <t>Medium (Colocation Hub / State Mix)</t>
        </is>
      </c>
    </row>
    <row r="9">
      <c r="A9" s="4" t="inlineStr">
        <is>
          <t>Delhi-NCR/Noida</t>
        </is>
      </c>
      <c r="B9" s="4" t="inlineStr">
        <is>
          <t>Uttar Pradesh</t>
        </is>
      </c>
      <c r="C9" s="8" t="n">
        <v>153</v>
      </c>
      <c r="D9" s="8" t="n">
        <v>353</v>
      </c>
      <c r="E9" s="8">
        <f>C9*Assumptions!$B$5*Assumptions!$B$6/1000</f>
        <v/>
      </c>
      <c r="F9" s="8">
        <f>D9*Assumptions!$B$5*Assumptions!$B$6/1000</f>
        <v/>
      </c>
      <c r="G9" s="9" t="n">
        <v>0.716</v>
      </c>
      <c r="H9" s="10" t="n">
        <v>0.224</v>
      </c>
      <c r="I9" s="10" t="n">
        <v>0.195</v>
      </c>
      <c r="J9" s="10" t="n">
        <v>0</v>
      </c>
      <c r="K9" s="10" t="n">
        <v>0</v>
      </c>
      <c r="L9" s="10">
        <f>IF(J9&gt;0, I9*Assumptions!$B$11 + J9*Assumptions!$B$12, I9*1.0)</f>
        <v/>
      </c>
      <c r="M9" s="10">
        <f>IF(K9&gt;0, I9*Assumptions!$B$11 + K9*Assumptions!$B$12, I9*1.0)</f>
        <v/>
      </c>
      <c r="N9" s="10">
        <f>1-L9</f>
        <v/>
      </c>
      <c r="O9" s="10">
        <f>1-M9</f>
        <v/>
      </c>
      <c r="P9" s="11">
        <f>MAX(0, (E9*1000)*G9*(L9-H9))</f>
        <v/>
      </c>
      <c r="Q9" s="11">
        <f>MAX(0, (F9*1000)*G9*(L9-H9))</f>
        <v/>
      </c>
      <c r="R9" s="11">
        <f>MAX(0, (E9*1000)*G9*(M9-H9))</f>
        <v/>
      </c>
      <c r="S9" s="11">
        <f>MAX(0, (F9*1000)*G9*(M9-H9))</f>
        <v/>
      </c>
      <c r="T9" s="4" t="inlineStr">
        <is>
          <t>₹3.04–3.75 L/MW/mo (SECI ISTS)</t>
        </is>
      </c>
      <c r="U9" s="4" t="inlineStr">
        <is>
          <t>High (Yotta D2 / Bundelkhand Solar)</t>
        </is>
      </c>
    </row>
    <row r="10">
      <c r="A10" s="4" t="inlineStr">
        <is>
          <t>Bengaluru</t>
        </is>
      </c>
      <c r="B10" s="4" t="inlineStr">
        <is>
          <t>Karnataka</t>
        </is>
      </c>
      <c r="C10" s="8" t="n">
        <v>107.1</v>
      </c>
      <c r="D10" s="8" t="n">
        <v>257.1</v>
      </c>
      <c r="E10" s="8">
        <f>C10*Assumptions!$B$5*Assumptions!$B$6/1000</f>
        <v/>
      </c>
      <c r="F10" s="8">
        <f>D10*Assumptions!$B$5*Assumptions!$B$6/1000</f>
        <v/>
      </c>
      <c r="G10" s="9" t="n">
        <v>0.716</v>
      </c>
      <c r="H10" s="10" t="n">
        <v>0.612</v>
      </c>
      <c r="I10" s="10" t="n">
        <v>0.225</v>
      </c>
      <c r="J10" s="10" t="n">
        <v>0.28</v>
      </c>
      <c r="K10" s="10" t="n">
        <v>0.28</v>
      </c>
      <c r="L10" s="10">
        <f>IF(J10&gt;0, I10*Assumptions!$B$11 + J10*Assumptions!$B$12, I10*1.0)</f>
        <v/>
      </c>
      <c r="M10" s="10">
        <f>IF(K10&gt;0, I10*Assumptions!$B$11 + K10*Assumptions!$B$12, I10*1.0)</f>
        <v/>
      </c>
      <c r="N10" s="10">
        <f>1-L10</f>
        <v/>
      </c>
      <c r="O10" s="10">
        <f>1-M10</f>
        <v/>
      </c>
      <c r="P10" s="11">
        <f>MAX(0, (E10*1000)*G10*(L10-H10))</f>
        <v/>
      </c>
      <c r="Q10" s="11">
        <f>MAX(0, (F10*1000)*G10*(L10-H10))</f>
        <v/>
      </c>
      <c r="R10" s="11">
        <f>MAX(0, (E10*1000)*G10*(M10-H10))</f>
        <v/>
      </c>
      <c r="S10" s="11">
        <f>MAX(0, (F10*1000)*G10*(M10-H10))</f>
        <v/>
      </c>
      <c r="T10" s="4" t="inlineStr">
        <is>
          <t>₹2.49–2.54 L/MW/mo (KPTCL)</t>
        </is>
      </c>
      <c r="U10" s="4" t="inlineStr">
        <is>
          <t>Medium (State-level RE Proxy / Pavagada)</t>
        </is>
      </c>
    </row>
    <row r="11">
      <c r="A11" s="4" t="inlineStr">
        <is>
          <t>Vizag</t>
        </is>
      </c>
      <c r="B11" s="4" t="inlineStr">
        <is>
          <t>Andhra Pradesh</t>
        </is>
      </c>
      <c r="C11" s="8" t="n">
        <v>1000</v>
      </c>
      <c r="D11" s="8" t="n">
        <v>1000</v>
      </c>
      <c r="E11" s="8">
        <f>C11*Assumptions!$B$5*Assumptions!$B$6/1000</f>
        <v/>
      </c>
      <c r="F11" s="8">
        <f>D11*Assumptions!$B$5*Assumptions!$B$6/1000</f>
        <v/>
      </c>
      <c r="G11" s="9" t="n">
        <v>0.716</v>
      </c>
      <c r="H11" s="10" t="n">
        <v>0.441</v>
      </c>
      <c r="I11" s="10" t="n">
        <v>0.22</v>
      </c>
      <c r="J11" s="10" t="n">
        <v>0.27</v>
      </c>
      <c r="K11" s="10" t="n">
        <v>0.27</v>
      </c>
      <c r="L11" s="10">
        <f>IF(J11&gt;0, I11*Assumptions!$B$11 + J11*Assumptions!$B$12, I11*1.0)</f>
        <v/>
      </c>
      <c r="M11" s="10">
        <f>IF(K11&gt;0, I11*Assumptions!$B$11 + K11*Assumptions!$B$12, I11*1.0)</f>
        <v/>
      </c>
      <c r="N11" s="10">
        <f>1-L11</f>
        <v/>
      </c>
      <c r="O11" s="10">
        <f>1-M11</f>
        <v/>
      </c>
      <c r="P11" s="11">
        <f>MAX(0, (E11*1000)*G11*(L11-H11))</f>
        <v/>
      </c>
      <c r="Q11" s="11">
        <f>MAX(0, (F11*1000)*G11*(L11-H11))</f>
        <v/>
      </c>
      <c r="R11" s="11">
        <f>MAX(0, (E11*1000)*G11*(M11-H11))</f>
        <v/>
      </c>
      <c r="S11" s="11">
        <f>MAX(0, (F11*1000)*G11*(M11-H11))</f>
        <v/>
      </c>
      <c r="T11" s="4" t="inlineStr">
        <is>
          <t>₹2.80–3.20 L/MW/mo (APGECL)</t>
        </is>
      </c>
      <c r="U11" s="4" t="inlineStr">
        <is>
          <t>High (AdaniConneX 1 GW AI Campus)</t>
        </is>
      </c>
    </row>
    <row r="12">
      <c r="A12" s="12" t="inlineStr">
        <is>
          <t>Kolkata</t>
        </is>
      </c>
      <c r="B12" s="12" t="inlineStr">
        <is>
          <t>West Bengal</t>
        </is>
      </c>
      <c r="C12" s="13" t="n">
        <v>42.4</v>
      </c>
      <c r="D12" s="13" t="n">
        <v>67.40000000000001</v>
      </c>
      <c r="E12" s="13">
        <f>C12*Assumptions!$B$5*Assumptions!$B$6/1000</f>
        <v/>
      </c>
      <c r="F12" s="13">
        <f>D12*Assumptions!$B$5*Assumptions!$B$6/1000</f>
        <v/>
      </c>
      <c r="G12" s="14" t="n">
        <v>0.716</v>
      </c>
      <c r="H12" s="15" t="n">
        <v>0.138</v>
      </c>
      <c r="I12" s="15" t="n">
        <v>0.182</v>
      </c>
      <c r="J12" s="15" t="n">
        <v>0</v>
      </c>
      <c r="K12" s="15" t="n">
        <v>0</v>
      </c>
      <c r="L12" s="15">
        <f>IF(J12&gt;0, I12*Assumptions!$B$11 + J12*Assumptions!$B$12, I12*1.0)</f>
        <v/>
      </c>
      <c r="M12" s="15">
        <f>IF(K12&gt;0, I12*Assumptions!$B$11 + K12*Assumptions!$B$12, I12*1.0)</f>
        <v/>
      </c>
      <c r="N12" s="15">
        <f>1-L12</f>
        <v/>
      </c>
      <c r="O12" s="15">
        <f>1-M12</f>
        <v/>
      </c>
      <c r="P12" s="16">
        <f>MAX(0, (E12*1000)*G12*(L12-H12))</f>
        <v/>
      </c>
      <c r="Q12" s="16">
        <f>MAX(0, (F12*1000)*G12*(L12-H12))</f>
        <v/>
      </c>
      <c r="R12" s="16">
        <f>MAX(0, (E12*1000)*G12*(M12-H12))</f>
        <v/>
      </c>
      <c r="S12" s="16">
        <f>MAX(0, (F12*1000)*G12*(M12-H12))</f>
        <v/>
      </c>
      <c r="T12" s="12" t="inlineStr">
        <is>
          <t>₹3.04–3.75 L/MW/mo (SECI ISTS)</t>
        </is>
      </c>
      <c r="U12" s="12" t="inlineStr">
        <is>
          <t>Medium (Facility Sum / Low Non-Fossil)</t>
        </is>
      </c>
    </row>
    <row r="13">
      <c r="A13" s="17" t="inlineStr">
        <is>
          <t>Jamnagar</t>
        </is>
      </c>
      <c r="B13" s="17" t="inlineStr">
        <is>
          <t>Gujarat</t>
        </is>
      </c>
      <c r="C13" s="18" t="n">
        <v>1000</v>
      </c>
      <c r="D13" s="18" t="n">
        <v>3000</v>
      </c>
      <c r="E13" s="18">
        <f>C13*Assumptions!$B$5*Assumptions!$B$6/1000</f>
        <v/>
      </c>
      <c r="F13" s="18">
        <f>D13*Assumptions!$B$5*Assumptions!$B$6/1000</f>
        <v/>
      </c>
      <c r="G13" s="19" t="n">
        <v>0.716</v>
      </c>
      <c r="H13" s="20" t="n">
        <v>0.574</v>
      </c>
      <c r="I13" s="20" t="n">
        <v>0.23</v>
      </c>
      <c r="J13" s="20" t="n">
        <v>0.24</v>
      </c>
      <c r="K13" s="20" t="n">
        <v>0.32</v>
      </c>
      <c r="L13" s="20">
        <f>IF(J13&gt;0, I13*Assumptions!$B$11 + J13*Assumptions!$B$12, I13*1.0)</f>
        <v/>
      </c>
      <c r="M13" s="20">
        <f>IF(K13&gt;0, I13*Assumptions!$B$11 + K13*Assumptions!$B$12, I13*1.0)</f>
        <v/>
      </c>
      <c r="N13" s="20">
        <f>1-L13</f>
        <v/>
      </c>
      <c r="O13" s="20">
        <f>1-M13</f>
        <v/>
      </c>
      <c r="P13" s="21">
        <f>MAX(0, (E13*1000)*G13*(L13-H13))</f>
        <v/>
      </c>
      <c r="Q13" s="21">
        <f>MAX(0, (F13*1000)*G13*(L13-H13))</f>
        <v/>
      </c>
      <c r="R13" s="21">
        <f>MAX(0, (E13*1000)*G13*(M13-H13))</f>
        <v/>
      </c>
      <c r="S13" s="21">
        <f>MAX(0, (F13*1000)*G13*(M13-H13))</f>
        <v/>
      </c>
      <c r="T13" s="17" t="inlineStr">
        <is>
          <t>₹2.10–2.32 L/MW/mo (GUVNL)</t>
        </is>
      </c>
      <c r="U13" s="17" t="inlineStr">
        <is>
          <t>Tiered (Meta 168MW Verified; 1GW Ph1; 3GW Master Plan; Wind 24% Cons/32% Claimed)</t>
        </is>
      </c>
    </row>
    <row r="14">
      <c r="A14" s="22" t="inlineStr">
        <is>
          <t>Total National (All 9 Clusters)</t>
        </is>
      </c>
      <c r="B14" s="22" t="inlineStr">
        <is>
          <t>India Synchronous Grid</t>
        </is>
      </c>
      <c r="C14" s="23">
        <f>SUM(C5:C13)</f>
        <v/>
      </c>
      <c r="D14" s="23">
        <f>SUM(D5:D13)</f>
        <v/>
      </c>
      <c r="E14" s="23">
        <f>SUM(E5:E13)</f>
        <v/>
      </c>
      <c r="F14" s="23">
        <f>SUM(F5:F13)</f>
        <v/>
      </c>
      <c r="G14" s="24" t="n">
        <v>0.716</v>
      </c>
      <c r="H14" s="25">
        <f>AVERAGE(H5:H13)</f>
        <v/>
      </c>
      <c r="I14" s="25">
        <f>AVERAGE(I5:I13)</f>
        <v/>
      </c>
      <c r="J14" s="25">
        <f>AVERAGE(J5:J13)</f>
        <v/>
      </c>
      <c r="K14" s="25">
        <f>AVERAGE(K5:K13)</f>
        <v/>
      </c>
      <c r="L14" s="25">
        <f>AVERAGE(L5:L13)</f>
        <v/>
      </c>
      <c r="M14" s="25">
        <f>AVERAGE(M5:M13)</f>
        <v/>
      </c>
      <c r="N14" s="25">
        <f>AVERAGE(N5:N13)</f>
        <v/>
      </c>
      <c r="O14" s="25">
        <f>AVERAGE(O5:O13)</f>
        <v/>
      </c>
      <c r="P14" s="26">
        <f>SUM(P5:P13)</f>
        <v/>
      </c>
      <c r="Q14" s="26">
        <f>SUM(Q5:Q13)</f>
        <v/>
      </c>
      <c r="R14" s="26">
        <f>SUM(R5:R13)</f>
        <v/>
      </c>
      <c r="S14" s="26">
        <f>SUM(S5:S13)</f>
        <v/>
      </c>
      <c r="T14" s="22" t="inlineStr">
        <is>
          <t>National BESS Portfolio</t>
        </is>
      </c>
      <c r="U14" s="22" t="inlineStr">
        <is>
          <t>Headline finding: 75-82% RE-matching gap across clusters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4"/>
  <sheetViews>
    <sheetView showGridLines="1" workbookViewId="0">
      <selection activeCell="A1" sqref="A1"/>
    </sheetView>
  </sheetViews>
  <sheetFormatPr baseColWidth="8" defaultRowHeight="15"/>
  <cols>
    <col width="107" customWidth="1" min="1" max="1"/>
    <col width="30" customWidth="1" min="2" max="2"/>
    <col width="32" customWidth="1" min="3" max="3"/>
    <col width="28" customWidth="1" min="4" max="4"/>
    <col width="33" customWidth="1" min="5" max="5"/>
    <col width="27" customWidth="1" min="6" max="6"/>
    <col width="32" customWidth="1" min="7" max="7"/>
    <col width="33" customWidth="1" min="8" max="8"/>
    <col width="141" customWidth="1" min="9" max="9"/>
  </cols>
  <sheetData>
    <row r="1">
      <c r="A1" s="1" t="inlineStr">
        <is>
          <t>Data Center 24/7 Renewable Energy &amp; Decarbonization Roadmap — Slide-Ready Summary</t>
        </is>
      </c>
    </row>
    <row r="2">
      <c r="A2" s="2" t="inlineStr">
        <is>
          <t>Executive deck summary: Un-stored dedicated RE buildout leaves a 75–82% matching gap across all clusters</t>
        </is>
      </c>
    </row>
    <row r="3"/>
    <row r="4">
      <c r="A4" s="7" t="inlineStr">
        <is>
          <t>Cluster</t>
        </is>
      </c>
      <c r="B4" s="7" t="inlineStr">
        <is>
          <t>Demand Today (GWh/yr - Low)</t>
        </is>
      </c>
      <c r="C4" s="7" t="inlineStr">
        <is>
          <t>Demand Future (GWh/yr - High)</t>
        </is>
      </c>
      <c r="D4" s="7" t="inlineStr">
        <is>
          <t>Current Grid RE Share (%)</t>
        </is>
      </c>
      <c r="E4" s="7" t="inlineStr">
        <is>
          <t>RE Matched Under Framework (%)</t>
        </is>
      </c>
      <c r="F4" s="7" t="inlineStr">
        <is>
          <t>24/7 RE Matching Gap (%)</t>
        </is>
      </c>
      <c r="G4" s="7" t="inlineStr">
        <is>
          <t>CO2 Avoided Today (Tonnes/yr)</t>
        </is>
      </c>
      <c r="H4" s="7" t="inlineStr">
        <is>
          <t>CO2 Avoided Future (Tonnes/yr)</t>
        </is>
      </c>
      <c r="I4" s="7" t="inlineStr">
        <is>
          <t>One-Line Confidence &amp; Sourcing Note</t>
        </is>
      </c>
    </row>
    <row r="5">
      <c r="A5" s="4" t="inlineStr">
        <is>
          <t>Mumbai/Navi Mumbai</t>
        </is>
      </c>
      <c r="B5" s="27">
        <f>ROUND(Demand_Supply_Model!E5, 0)</f>
        <v/>
      </c>
      <c r="C5" s="27">
        <f>ROUND(Demand_Supply_Model!F5, 0)</f>
        <v/>
      </c>
      <c r="D5" s="28">
        <f>Demand_Supply_Model!H5</f>
        <v/>
      </c>
      <c r="E5" s="28">
        <f>Demand_Supply_Model!L5</f>
        <v/>
      </c>
      <c r="F5" s="28">
        <f>Demand_Supply_Model!N5</f>
        <v/>
      </c>
      <c r="G5" s="27">
        <f>ROUND(Demand_Supply_Model!P5, 0)</f>
        <v/>
      </c>
      <c r="H5" s="27">
        <f>ROUND(Demand_Supply_Model!Q5, 0)</f>
        <v/>
      </c>
      <c r="I5" s="29" t="inlineStr">
        <is>
          <t>77.9% matching gap; dedicated RE buildout CF (22.1%) is below Maharashtra grid mix (36.8%), yielding 0 avoided CO2 without storage.</t>
        </is>
      </c>
    </row>
    <row r="6">
      <c r="A6" s="4" t="inlineStr">
        <is>
          <t>Chennai</t>
        </is>
      </c>
      <c r="B6" s="27">
        <f>ROUND(Demand_Supply_Model!E6, 0)</f>
        <v/>
      </c>
      <c r="C6" s="27">
        <f>ROUND(Demand_Supply_Model!F6, 0)</f>
        <v/>
      </c>
      <c r="D6" s="28">
        <f>Demand_Supply_Model!H6</f>
        <v/>
      </c>
      <c r="E6" s="28">
        <f>Demand_Supply_Model!L6</f>
        <v/>
      </c>
      <c r="F6" s="28">
        <f>Demand_Supply_Model!N6</f>
        <v/>
      </c>
      <c r="G6" s="27">
        <f>ROUND(Demand_Supply_Model!P6, 0)</f>
        <v/>
      </c>
      <c r="H6" s="27">
        <f>ROUND(Demand_Supply_Model!Q6, 0)</f>
        <v/>
      </c>
      <c r="I6" s="29" t="inlineStr">
        <is>
          <t>74.8% matching gap; top coastal wind corridor (31.5% CF) yields 25.2% blended match, below TN grid baseline (53.2%).</t>
        </is>
      </c>
    </row>
    <row r="7">
      <c r="A7" s="4" t="inlineStr">
        <is>
          <t>Hyderabad</t>
        </is>
      </c>
      <c r="B7" s="27">
        <f>ROUND(Demand_Supply_Model!E7, 0)</f>
        <v/>
      </c>
      <c r="C7" s="27">
        <f>ROUND(Demand_Supply_Model!F7, 0)</f>
        <v/>
      </c>
      <c r="D7" s="28">
        <f>Demand_Supply_Model!H7</f>
        <v/>
      </c>
      <c r="E7" s="28">
        <f>Demand_Supply_Model!L7</f>
        <v/>
      </c>
      <c r="F7" s="28">
        <f>Demand_Supply_Model!N7</f>
        <v/>
      </c>
      <c r="G7" s="27">
        <f>ROUND(Demand_Supply_Model!P7, 0)</f>
        <v/>
      </c>
      <c r="H7" s="27">
        <f>ROUND(Demand_Supply_Model!Q7, 0)</f>
        <v/>
      </c>
      <c r="I7" s="29" t="inlineStr">
        <is>
          <t>79.5% matching gap; un-stored solar+wind achieves 20.5% match vs 34.5% Telangana grid mix; requires BESS or interstate imports.</t>
        </is>
      </c>
    </row>
    <row r="8">
      <c r="A8" s="4" t="inlineStr">
        <is>
          <t>Pune</t>
        </is>
      </c>
      <c r="B8" s="27">
        <f>ROUND(Demand_Supply_Model!E8, 0)</f>
        <v/>
      </c>
      <c r="C8" s="27">
        <f>ROUND(Demand_Supply_Model!F8, 0)</f>
        <v/>
      </c>
      <c r="D8" s="28">
        <f>Demand_Supply_Model!H8</f>
        <v/>
      </c>
      <c r="E8" s="28">
        <f>Demand_Supply_Model!L8</f>
        <v/>
      </c>
      <c r="F8" s="28">
        <f>Demand_Supply_Model!N8</f>
        <v/>
      </c>
      <c r="G8" s="27">
        <f>ROUND(Demand_Supply_Model!P8, 0)</f>
        <v/>
      </c>
      <c r="H8" s="27">
        <f>ROUND(Demand_Supply_Model!Q8, 0)</f>
        <v/>
      </c>
      <c r="I8" s="29" t="inlineStr">
        <is>
          <t>77.9% matching gap; secondary colocation cluster; benefits from Satara ridge wind but cannot match 24/7 load without storage.</t>
        </is>
      </c>
    </row>
    <row r="9">
      <c r="A9" s="4" t="inlineStr">
        <is>
          <t>Delhi-NCR/Noida</t>
        </is>
      </c>
      <c r="B9" s="27">
        <f>ROUND(Demand_Supply_Model!E9, 0)</f>
        <v/>
      </c>
      <c r="C9" s="27">
        <f>ROUND(Demand_Supply_Model!F9, 0)</f>
        <v/>
      </c>
      <c r="D9" s="28">
        <f>Demand_Supply_Model!H9</f>
        <v/>
      </c>
      <c r="E9" s="28">
        <f>Demand_Supply_Model!L9</f>
        <v/>
      </c>
      <c r="F9" s="28">
        <f>Demand_Supply_Model!N9</f>
        <v/>
      </c>
      <c r="G9" s="27">
        <f>ROUND(Demand_Supply_Model!P9, 0)</f>
        <v/>
      </c>
      <c r="H9" s="27">
        <f>ROUND(Demand_Supply_Model!Q9, 0)</f>
        <v/>
      </c>
      <c r="I9" s="29" t="inlineStr">
        <is>
          <t>80.5% matching gap; zero local wind viability (&lt;100 W/m²); 19.5% solar-only match is below UP grid mix (22.4%).</t>
        </is>
      </c>
    </row>
    <row r="10">
      <c r="A10" s="4" t="inlineStr">
        <is>
          <t>Bengaluru</t>
        </is>
      </c>
      <c r="B10" s="27">
        <f>ROUND(Demand_Supply_Model!E10, 0)</f>
        <v/>
      </c>
      <c r="C10" s="27">
        <f>ROUND(Demand_Supply_Model!F10, 0)</f>
        <v/>
      </c>
      <c r="D10" s="28">
        <f>Demand_Supply_Model!H10</f>
        <v/>
      </c>
      <c r="E10" s="28">
        <f>Demand_Supply_Model!L10</f>
        <v/>
      </c>
      <c r="F10" s="28">
        <f>Demand_Supply_Model!N10</f>
        <v/>
      </c>
      <c r="G10" s="27">
        <f>ROUND(Demand_Supply_Model!P10, 0)</f>
        <v/>
      </c>
      <c r="H10" s="27">
        <f>ROUND(Demand_Supply_Model!Q10, 0)</f>
        <v/>
      </c>
      <c r="I10" s="29" t="inlineStr">
        <is>
          <t>75.3% matching gap; state grid has India's highest RE share (61.2%); peri-urban relocation solves urban water crisis rather than grid mix.</t>
        </is>
      </c>
    </row>
    <row r="11">
      <c r="A11" s="4" t="inlineStr">
        <is>
          <t>Vizag</t>
        </is>
      </c>
      <c r="B11" s="27">
        <f>ROUND(Demand_Supply_Model!E11, 0)</f>
        <v/>
      </c>
      <c r="C11" s="27">
        <f>ROUND(Demand_Supply_Model!F11, 0)</f>
        <v/>
      </c>
      <c r="D11" s="28">
        <f>Demand_Supply_Model!H11</f>
        <v/>
      </c>
      <c r="E11" s="28">
        <f>Demand_Supply_Model!L11</f>
        <v/>
      </c>
      <c r="F11" s="28">
        <f>Demand_Supply_Model!N11</f>
        <v/>
      </c>
      <c r="G11" s="27">
        <f>ROUND(Demand_Supply_Model!P11, 0)</f>
        <v/>
      </c>
      <c r="H11" s="27">
        <f>ROUND(Demand_Supply_Model!Q11, 0)</f>
        <v/>
      </c>
      <c r="I11" s="29" t="inlineStr">
        <is>
          <t>76.0% matching gap; 1 GW Google/AdaniConneX hub backed by 24.0% blended solar-wind resource, below 44.1% AP state grid.</t>
        </is>
      </c>
    </row>
    <row r="12">
      <c r="A12" s="12" t="inlineStr">
        <is>
          <t>Kolkata</t>
        </is>
      </c>
      <c r="B12" s="30">
        <f>ROUND(Demand_Supply_Model!E12, 0)</f>
        <v/>
      </c>
      <c r="C12" s="30">
        <f>ROUND(Demand_Supply_Model!F12, 0)</f>
        <v/>
      </c>
      <c r="D12" s="31">
        <f>Demand_Supply_Model!H12</f>
        <v/>
      </c>
      <c r="E12" s="31">
        <f>Demand_Supply_Model!L12</f>
        <v/>
      </c>
      <c r="F12" s="31">
        <f>Demand_Supply_Model!N12</f>
        <v/>
      </c>
      <c r="G12" s="30">
        <f>ROUND(Demand_Supply_Model!P12, 0)</f>
        <v/>
      </c>
      <c r="H12" s="30">
        <f>ROUND(Demand_Supply_Model!Q12, 0)</f>
        <v/>
      </c>
      <c r="I12" s="32" t="inlineStr">
        <is>
          <t>81.8% matching gap; only cluster where dedicated RE (18.2%) beats low coal grid (13.8%), avoiding 7.6k–12.1k t CO2/yr.</t>
        </is>
      </c>
    </row>
    <row r="13">
      <c r="A13" s="17" t="inlineStr">
        <is>
          <t>Jamnagar</t>
        </is>
      </c>
      <c r="B13" s="33">
        <f>ROUND(Demand_Supply_Model!E13, 0)</f>
        <v/>
      </c>
      <c r="C13" s="33">
        <f>ROUND(Demand_Supply_Model!F13, 0)</f>
        <v/>
      </c>
      <c r="D13" s="34">
        <f>Demand_Supply_Model!H13</f>
        <v/>
      </c>
      <c r="E13" s="34">
        <f>Demand_Supply_Model!L13</f>
        <v/>
      </c>
      <c r="F13" s="34">
        <f>Demand_Supply_Model!N13</f>
        <v/>
      </c>
      <c r="G13" s="33">
        <f>ROUND(Demand_Supply_Model!P13, 0)</f>
        <v/>
      </c>
      <c r="H13" s="33">
        <f>ROUND(Demand_Supply_Model!Q13, 0)</f>
        <v/>
      </c>
      <c r="I13" s="35" t="inlineStr">
        <is>
          <t>76.6% matching gap (conservative 24% wind CF yields 23.4% match; claimed 32% wind gives 26.6% match / 73.4% gap); captive giga-complex.</t>
        </is>
      </c>
    </row>
    <row r="14">
      <c r="A14" s="22" t="inlineStr">
        <is>
          <t>Total National Impact (9 Clusters)</t>
        </is>
      </c>
      <c r="B14" s="36">
        <f>SUM(B5:B13)</f>
        <v/>
      </c>
      <c r="C14" s="36">
        <f>SUM(C5:C13)</f>
        <v/>
      </c>
      <c r="D14" s="37">
        <f>AVERAGE(D5:D13)</f>
        <v/>
      </c>
      <c r="E14" s="37">
        <f>AVERAGE(E5:E13)</f>
        <v/>
      </c>
      <c r="F14" s="37">
        <f>AVERAGE(F5:F13)</f>
        <v/>
      </c>
      <c r="G14" s="36">
        <f>SUM(G5:G13)</f>
        <v/>
      </c>
      <c r="H14" s="36">
        <f>SUM(H5:H13)</f>
        <v/>
      </c>
      <c r="I14" s="22" t="inlineStr">
        <is>
          <t>National headline: Un-stored dedicated RE leaves an average 77.8% 24/7 matching gap across India.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2026-09-29T19:49:20Z</dcterms:created>
  <dcterms:modified xmlns:dcterms="http://purl.org/dc/terms/" xmlns:xsi="http://www.w3.org/2001/XMLSchema-instance" xsi:type="dcterms:W3CDTF">2026-09-29T19:49:20Z</dcterms:modified>
</cp:coreProperties>
</file>